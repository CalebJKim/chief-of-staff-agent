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3dbcb721e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Lanes" sheetId="1" r:id="R0d37085cb4ee406b"/>
  </x:sheets>
</x:workbook>
</file>

<file path=xl/sharedStrings.xml><?xml version="1.0" encoding="utf-8"?>
<x:sst xmlns:x="http://schemas.openxmlformats.org/spreadsheetml/2006/main">
  <x:si>
    <x:t xml:space="preserve">Awaiting updates</x:t>
  </x:si>
  <x:si>
    <x:t xml:space="preserve">Blocked</x:t>
  </x:si>
  <x:si>
    <x:t xml:space="preserve">Active lanes</x:t>
  </x:si>
  <x:si>
    <x:t xml:space="preserve">Last refreshed</x:t>
  </x:si>
  <x:si>
    <x:t xml:space="preserve">Lane</x:t>
  </x:si>
  <x:si>
    <x:t xml:space="preserve">PIC</x:t>
  </x:si>
  <x:si>
    <x:t xml:space="preserve">Status</x:t>
  </x:si>
  <x:si>
    <x:t xml:space="preserve">Latest update</x:t>
  </x:si>
  <x:si>
    <x:t xml:space="preserve">Next action</x:t>
  </x:si>
  <x:si>
    <x:t xml:space="preserve">Due</x:t>
  </x:si>
  <x:si>
    <x:t xml:space="preserve">Dependency / blocker</x:t>
  </x:si>
  <x:si>
    <x:t xml:space="preserve">Evidence</x:t>
  </x:si>
  <x:si>
    <x:t xml:space="preserve">Artifact</x:t>
  </x:si>
  <x:si>
    <x:t xml:space="preserve">Notes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</x:si>
</x:sst>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9">
    <x:font>
      <x:sz val="10"/>
      <x:color rgb="FF000000"/>
      <x:name val="Arial"/>
    </x:font>
    <x:font>
      <x:b/>
      <x:sz val="18"/>
      <x:color rgb="FFFFFFFF"/>
      <x:name val="Arial"/>
    </x:font>
    <x:font>
      <x:i/>
      <x:sz val="10"/>
      <x:color rgb="FF334155"/>
      <x:name val="Arial"/>
    </x:font>
    <x:font>
      <x:b/>
      <x:sz val="11"/>
      <x:color rgb="FF0F172A"/>
      <x:name val="Arial"/>
    </x:font>
    <x:font>
      <x:i/>
      <x:sz val="9"/>
      <x:color rgb="FF7C2D12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color theme="1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72554"/>
      </x:patternFill>
    </x:fill>
    <x:fill>
      <x:patternFill patternType="solid">
        <x:fgColor rgb="FFE0E7FF"/>
      </x:patternFill>
    </x:fill>
    <x:fill>
      <x:patternFill patternType="solid">
        <x:fgColor rgb="FFF1F5F9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</x:fills>
  <x:borders count="3">
    <x:border/>
    <x:border>
      <x:bottom style="medium">
        <x:color rgb="FF1E3A8A"/>
      </x:bottom>
    </x:border>
    <x:border>
      <x:bottom style="thin">
        <x:color rgb="FFCBD5E1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/>
    </x:xf>
    <x:xf numFmtId="0" fontId="2" fillId="3" borderId="0" xfId="0" applyFont="1" applyFill="1"/>
    <x:xf numFmtId="0" fontId="3" fillId="4" borderId="0" xfId="0" applyFont="1" applyFill="1" applyAlignment="1"/>
    <x:xf numFmtId="164" fontId="3" fillId="4" borderId="0" xfId="0" applyNumberFormat="1" applyFont="1" applyFill="1" applyAlignment="1"/>
    <x:xf numFmtId="0" fontId="4" fillId="5" borderId="0" xfId="0" applyFont="1" applyFill="1"/>
    <x:xf numFmtId="0" fontId="5" fillId="0" borderId="0" xfId="0" applyFont="1" applyAlignment="1">
      <x:alignment vertical="center" wrapText="1"/>
    </x:xf>
    <x:xf numFmtId="0" fontId="6" fillId="6" borderId="1" xfId="0" applyFont="1" applyFill="1" applyBorder="1" applyAlignment="1">
      <x:alignment horizontal="center"/>
    </x:xf>
    <x:xf numFmtId="0" fontId="6" fillId="6" borderId="0" xfId="0" applyFont="1" applyFill="1" applyAlignment="1">
      <x:alignment horizontal="center"/>
    </x:xf>
    <x:xf numFmtId="0" fontId="5" fillId="0" borderId="2" xfId="0" applyFont="1" applyBorder="1" applyAlignment="1">
      <x:alignment vertical="center" wrapText="1"/>
    </x:xf>
    <x:xf numFmtId="164" fontId="5" fillId="0" borderId="2" xfId="0" applyNumberFormat="1" applyFont="1" applyBorder="1" applyAlignment="1">
      <x:alignment vertical="center" wrapText="1"/>
    </x:xf>
    <x:xf numFmtId="0" fontId="7" fillId="0" borderId="2" xfId="0" applyFont="1" applyBorder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5" fillId="0" borderId="2" xfId="0" applyFont="1" applyBorder="1" applyAlignment="1">
      <x:alignment vertical="center" wrapText="1"/>
    </x:xf>
    <x:xf numFmtId="0" fontId="8" fillId="0" borderId="0" xfId="0" applyFont="1"/>
  </x:cellXfs>
  <x:cellStyles count="1">
    <x:cellStyle name="Normal" xfId="0"/>
  </x:cellStyles>
  <x:dxfs count="5">
    <x:dxf>
      <x:font>
        <x:b/>
        <x:color rgb="FF0F172A"/>
      </x:font>
      <x:fill>
        <x:patternFill>
          <x:bgColor rgb="FFD1FAE5"/>
        </x:patternFill>
      </x:fill>
      <x:border/>
    </x:dxf>
    <x:dxf>
      <x:font>
        <x:b/>
        <x:color rgb="FF0F172A"/>
      </x:font>
      <x:fill>
        <x:patternFill>
          <x:bgColor rgb="FFDBEAFE"/>
        </x:patternFill>
      </x:fill>
      <x:border/>
    </x:dxf>
    <x:dxf>
      <x:font>
        <x:b/>
        <x:color rgb="FF0F172A"/>
      </x:font>
      <x:fill>
        <x:patternFill>
          <x:bgColor rgb="FFDCFCE7"/>
        </x:patternFill>
      </x:fill>
      <x:border/>
    </x:dxf>
    <x:dxf>
      <x:font>
        <x:b/>
        <x:color rgb="FF0F172A"/>
      </x:font>
      <x:fill>
        <x:patternFill>
          <x:bgColor rgb="FFFEF3C7"/>
        </x:patternFill>
      </x:fill>
      <x:border/>
    </x:dxf>
    <x:dxf>
      <x:font>
        <x:b/>
        <x:color rgb="FF0F172A"/>
      </x:font>
      <x:fill>
        <x:patternFill>
          <x:bgColor rgb="FFFECACA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3395bb9a6482c" /><Relationship Type="http://schemas.openxmlformats.org/officeDocument/2006/relationships/theme" Target="/xl/theme/theme1.xml" Id="R4582f329442b44fa" /><Relationship Type="http://schemas.openxmlformats.org/officeDocument/2006/relationships/sharedStrings" Target="/xl/sharedStrings.xml" Id="R67f839ef739c4750" /><Relationship Type="http://schemas.openxmlformats.org/officeDocument/2006/relationships/worksheet" Target="/xl/worksheets/sheet1.xml" Id="R0d37085cb4ee406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DECK_URL" TargetMode="External" Id="Ra2e547eaa3d84cb2" /><Relationship Type="http://schemas.openxmlformats.org/officeDocument/2006/relationships/hyperlink" Target="DECK_URL" TargetMode="External" Id="Ra10a04783b9f400b" /><Relationship Type="http://schemas.openxmlformats.org/officeDocument/2006/relationships/hyperlink" Target="DOC_URL" TargetMode="External" Id="Rabca77eb34cb4f62" /><Relationship Type="http://schemas.openxmlformats.org/officeDocument/2006/relationships/hyperlink" Target="SHEET_URL" TargetMode="External" Id="Rbfa3a11b460b4d8e" /><Relationship Type="http://schemas.openxmlformats.org/officeDocument/2006/relationships/hyperlink" Target="DECK_URL" TargetMode="External" Id="Recc7dcea0e974f3f" /><Relationship Type="http://schemas.openxmlformats.org/officeDocument/2006/relationships/hyperlink" Target="DECK_URL" TargetMode="External" Id="Ra2b0a14efcdd4bd0" /><Relationship Type="http://schemas.openxmlformats.org/officeDocument/2006/relationships/hyperlink" Target="SHEET_URL" TargetMode="External" Id="R79506224c0a74df2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A7" activePane="bottomLeft" state="frozen"/>
    </sheetView>
  </sheetViews>
  <sheetFormatPr defaultColWidth="12.630000114440918" defaultRowHeight="15.75"/>
  <cols>
    <col min="1" max="1" width="23.8799991607666" customWidth="1"/>
    <col min="2" max="3" width="15.130000114440918" customWidth="1"/>
    <col min="4" max="5" width="32.630001068115234" customWidth="1"/>
    <col min="6" max="6" width="12.630000114440918" customWidth="1"/>
    <col min="7" max="7" width="25.1299991607666" customWidth="1"/>
    <col min="8" max="8" width="18.8799991607666" customWidth="1"/>
    <col min="9" max="9" width="23.8799991607666" customWidth="1"/>
    <col min="10" max="12" width="28.8799991607666" customWidth="1"/>
  </cols>
  <sheetData>
    <row r="1" ht="28.5" customHeight="1">
      <c r="A1" s="1" t="str">
        <v>NeoAgent V2 Campaign Tracker</v>
      </c>
      <c r="K1" s="1"/>
      <c r="L1" s="1"/>
    </row>
    <row r="2">
      <c r="A2" s="2" t="str">
        <v>Decision-ready view of campaign execution</v>
      </c>
      <c r="K2" s="2"/>
      <c r="L2" s="2"/>
    </row>
    <row r="3">
      <c r="A3" s="3" t="s">
        <v>0</v>
      </c>
      <c r="B3" s="3" t="n">
        <f>COUNTIF(C7:C100,"Awaiting update")</f>
        <v>5</v>
      </c>
      <c r="C3" s="3"/>
      <c r="D3" s="3" t="s">
        <v>1</v>
      </c>
      <c r="E3" s="3" t="n">
        <f>COUNTIF(C7:C100,"Blocked")</f>
        <v>2</v>
      </c>
      <c r="F3" s="3"/>
      <c r="G3" s="3" t="s">
        <v>2</v>
      </c>
      <c r="H3" s="3" t="n">
        <f>COUNTA(A7:A100)</f>
        <v>8</v>
      </c>
      <c r="I3" s="3" t="s">
        <v>3</v>
      </c>
      <c r="J3" s="4"/>
      <c r="K3" s="3"/>
      <c r="L3" s="3"/>
    </row>
    <row r="4" ht="32" customHeight="1">
      <c r="A4" s="5" t="inlineStr">
        <is>
          <t>Status guide (lane scope, not downstream work): Check completion first. Complete = deliverable done; Awaiting update = missing input; In progress = input received, drafting/edits pending; Blocked = explicit dependency preventing progress; On track = unfinished work progressing without a blocker.</t>
        </is>
      </c>
      <c r="K4" s="5"/>
      <c r="L4" s="5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ht="25.5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8"/>
      <c r="L6" s="8"/>
    </row>
    <row r="7" ht="116" customHeight="1">
      <c r="A7" s="9" t="str">
        <v>Performance results</v>
      </c>
      <c r="B7" s="9" t="str">
        <v>Mike Chen</v>
      </c>
      <c r="C7" s="9" t="str">
        <v>Awaiting update</v>
      </c>
      <c r="D7" s="9" t="str">
        <v>Awaiting Mike’s approved performance results.</v>
      </c>
      <c r="E7" s="9" t="str">
        <v>Obtain Mike’s approved performance results.</v>
      </c>
      <c r="F7" s="10" t="str"/>
      <c r="G7" s="9" t="str">
        <v>Awaiting approved Performance results.</v>
      </c>
      <c r="H7" s="9" t="str">
        <v>Pending Product confirmation</v>
      </c>
      <c r="I7" s="11" t="str">
        <v>DECK_URL</v>
      </c>
      <c r="J7" s="9" t="str">
        <v>This lane ends when Mike provides approved performance results. Adding them to the slide deck and drafting messaging are tracked separately under Exec Review deck and Agent Messaging.</v>
      </c>
      <c r="K7" s="12"/>
      <c r="L7" s="12"/>
    </row>
    <row r="8" ht="116" customHeight="1">
      <c r="A8" s="9" t="str">
        <v>Exec Review deck</v>
      </c>
      <c r="B8" s="9" t="str">
        <v>Elena Park</v>
      </c>
      <c r="C8" s="9" t="str">
        <v>Awaiting update</v>
      </c>
      <c r="D8" s="9" t="str">
        <v>The Exec Review deck still uses placeholder benchmark wording and has not incorporated the latest review notes.</v>
      </c>
      <c r="E8" s="9" t="str">
        <v>Apply approved results when received; reconcile slide 6, slide 7, and slide 10 feedback before the Exec Review.</v>
      </c>
      <c r="F8" s="9" t="str"/>
      <c r="G8" s="9" t="str">
        <v>Blocked on approved results and final review direction.</v>
      </c>
      <c r="H8" s="9" t="str">
        <v>Pending Mike and Aisha updates</v>
      </c>
      <c r="I8" s="11" t="str">
        <v>DECK_URL</v>
      </c>
      <c r="J8" s="9" t="str">
        <v>Two decisions: keynote storyline and GTC demos/owners.</v>
      </c>
      <c r="K8" s="12"/>
      <c r="L8" s="12"/>
    </row>
    <row r="9" ht="116" customHeight="1">
      <c r="A9" s="9" t="str">
        <v>Agent Messaging</v>
      </c>
      <c r="B9" s="9" t="str">
        <v>Workspace Owner</v>
      </c>
      <c r="C9" s="9" t="str">
        <v>Awaiting update</v>
      </c>
      <c r="D9" s="9" t="str">
        <v>Agent Messaging still carries placeholder benchmark wording and is waiting on the approved benchmark package.</v>
      </c>
      <c r="E9" s="9" t="str">
        <v>Draft the messaging using Product's approved results, keeping the NeoAgent V1 baseline and evaluation scope intact, aligned with the deck.</v>
      </c>
      <c r="F9" s="10" t="str"/>
      <c r="G9" s="9" t="str">
        <v>Awaiting approved performance results and wording.</v>
      </c>
      <c r="H9" s="9" t="str">
        <v>Pending Product / Legal confirmation</v>
      </c>
      <c r="I9" s="11" t="str">
        <v>DOC_URL</v>
      </c>
      <c r="J9" s="9" t="str">
        <v>This lane prepares draft messaging from approved Performance results. Final external publication needs a separate Legal review after the draft is ready.</v>
      </c>
      <c r="K9" s="12"/>
      <c r="L9" s="12"/>
    </row>
    <row r="10" ht="116" customHeight="1">
      <c r="A10" s="9" t="str">
        <v>Marketing shoot</v>
      </c>
      <c r="B10" s="9" t="str">
        <v>Priya Nair</v>
      </c>
      <c r="C10" s="9" t="str">
        <v>Blocked</v>
      </c>
      <c r="D10" s="9" t="str">
        <v>Priya has checked both replacement options. Studio B Friday and Studio C Tuesday both meet production needs. Holds expire at 4:30 PM today.</v>
      </c>
      <c r="E10" s="9" t="str">
        <v>Reply to Priya with the preferred option. Priya will handle booking and production arrangements.</v>
      </c>
      <c r="F10" s="9" t="str"/>
      <c r="G10" s="9" t="str">
        <v>Awaiting only the user's Friday/Tuesday preference before the holds expire.</v>
      </c>
      <c r="H10" s="9" t="str">
        <v>EMAIL_PRIYA</v>
      </c>
      <c r="I10" s="11" t="str">
        <v>SHEET_URL</v>
      </c>
      <c r="J10" s="9" t="str">
        <v>Missing the hold risks a campaign slip.</v>
      </c>
      <c r="K10" s="12"/>
      <c r="L10" s="12"/>
    </row>
    <row r="11" ht="116" customHeight="1">
      <c r="A11" s="9" t="str">
        <v>Partner enablement</v>
      </c>
      <c r="B11" s="9" t="str">
        <v>Aisha Rahman</v>
      </c>
      <c r="C11" s="9" t="str">
        <v>On track</v>
      </c>
      <c r="D11" s="9" t="str">
        <v>The VP requested a review of the partner slides, and the staged Windows pilot passed its smoke check and is ready for an inclusion decision.</v>
      </c>
      <c r="E11" s="9" t="str">
        <v>Review the partner section and decide whether the pilot belongs in the demo.</v>
      </c>
      <c r="F11" s="9" t="str"/>
      <c r="G11" s="9" t="inlineStr">
        <is>
          <t/>
        </is>
      </c>
      <c r="H11" s="9" t="str">
        <v>Partner review evidence</v>
      </c>
      <c r="I11" s="11" t="str">
        <v>DECK_URL</v>
      </c>
      <c r="J11" s="9" t="inlineStr">
        <is>
          <t>Pilot inclusion requires a separate leadership decision; it does not block the partner review.</t>
        </is>
      </c>
      <c r="K11" s="12"/>
      <c r="L11" s="12"/>
    </row>
    <row r="12" ht="116" customHeight="1">
      <c r="A12" s="9" t="str">
        <v>Social rollout</v>
      </c>
      <c r="B12" s="9" t="str">
        <v>Rafael Costa</v>
      </c>
      <c r="C12" s="9" t="str">
        <v>Awaiting update</v>
      </c>
      <c r="D12" s="9" t="str">
        <v>No current status has been received.</v>
      </c>
      <c r="E12" s="9" t="str">
        <v>Request asset readiness, timing, and blockers from Rafael.</v>
      </c>
      <c r="F12" s="13" t="str"/>
      <c r="G12" s="9" t="str">
        <v>PIC status</v>
      </c>
      <c r="H12" s="9" t="str">
        <v>Email / Slack</v>
      </c>
      <c r="I12" s="9" t="str"/>
      <c r="J12" s="9" t="str">
        <v>Follow-up draft needed.</v>
      </c>
      <c r="K12" s="12"/>
      <c r="L12" s="12"/>
    </row>
    <row r="13" ht="116" customHeight="1">
      <c r="A13" s="9" t="str">
        <v>Retail demo readiness</v>
      </c>
      <c r="B13" s="9" t="str">
        <v>Unassigned</v>
      </c>
      <c r="C13" s="9" t="str">
        <v>Blocked</v>
      </c>
      <c r="D13" s="9" t="str">
        <v>The retail demo lane still has no final owner, so the GTC demo slate cannot be presented as closed.</v>
      </c>
      <c r="E13" s="9" t="str">
        <v>Assign the final retail demo owner and confirm coverage during the Exec Review.</v>
      </c>
      <c r="F13" s="9" t="str"/>
      <c r="G13" s="9" t="str">
        <v>Final retail demo owner is unassigned.</v>
      </c>
      <c r="H13" s="9" t="str">
        <v>Tracker owner field</v>
      </c>
      <c r="I13" s="11" t="str">
        <v>DECK_URL</v>
      </c>
      <c r="J13" s="9" t="str">
        <v>No owner has been assigned.</v>
      </c>
      <c r="K13" s="12"/>
      <c r="L13" s="12"/>
    </row>
    <row r="14" ht="116" customHeight="1">
      <c r="A14" s="9" t="str">
        <v>Legal intake LGL-2026-0847</v>
      </c>
      <c r="B14" s="9" t="str">
        <v>Daniel Cho</v>
      </c>
      <c r="C14" s="9" t="str">
        <v>Awaiting update</v>
      </c>
      <c r="D14" s="9" t="str">
        <v>Legal intake is open and the tracker has no recorded clearance for the performance result wording.</v>
      </c>
      <c r="E14" s="9" t="str">
        <v>Obtain Daniel’s clearance of the performance result wording for leadership review, including the NeoAgent V1 baseline and evaluation scope.</v>
      </c>
      <c r="F14" s="10" t="str"/>
      <c r="G14" s="9" t="str">
        <v>Awaiting legal confirmation of benchmark wording.</v>
      </c>
      <c r="H14" s="9" t="str">
        <v>Pending Daniel / Product evidence</v>
      </c>
      <c r="I14" s="11" t="str">
        <v>SHEET_URL</v>
      </c>
      <c r="J14" s="9" t="str">
        <v>This intake covers leadership-review clearance only. Final external-copy review is a separate requirement, not a condition for closing this intake.</v>
      </c>
      <c r="K14" s="12"/>
      <c r="L14" s="12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</sheetData>
  <autoFilter ref="$A$6:$J$14"/>
  <mergeCells>
    <mergeCell ref="A1:J1"/>
    <mergeCell ref="A2:J2"/>
    <mergeCell ref="A4:J4"/>
  </mergeCells>
  <conditionalFormatting sqref="C7:C100">
    <cfRule type="cellIs" dxfId="0" priority="1" stopIfTrue="1" operator="equal">
      <formula>"Complete"</formula>
    </cfRule>
  </conditionalFormatting>
  <conditionalFormatting sqref="C7:C100">
    <cfRule type="cellIs" dxfId="1" priority="2" stopIfTrue="1" operator="equal">
      <formula>"In progress"</formula>
    </cfRule>
  </conditionalFormatting>
  <conditionalFormatting sqref="C7:C100">
    <cfRule type="cellIs" dxfId="2" priority="3" stopIfTrue="1" operator="equal">
      <formula>"On track"</formula>
    </cfRule>
  </conditionalFormatting>
  <conditionalFormatting sqref="C7:C100">
    <cfRule type="cellIs" dxfId="3" priority="4" stopIfTrue="1" operator="equal">
      <formula>"Awaiting update"</formula>
    </cfRule>
  </conditionalFormatting>
  <conditionalFormatting sqref="C7:C100">
    <cfRule type="cellIs" dxfId="4" priority="5" stopIfTrue="1" operator="equal">
      <formula>"Blocked"</formula>
    </cfRule>
  </conditionalFormatting>
  <conditionalFormatting sqref="C7:C100">
    <cfRule type="cellIs" dxfId="0" priority="6" stopIfTrue="1" operator="equal">
      <formula>"Complete"</formula>
    </cfRule>
  </conditionalFormatting>
  <conditionalFormatting sqref="C7:C100">
    <cfRule type="cellIs" dxfId="1" priority="7" stopIfTrue="1" operator="equal">
      <formula>"In progress"</formula>
    </cfRule>
  </conditionalFormatting>
  <conditionalFormatting sqref="C7:C100">
    <cfRule type="cellIs" dxfId="2" priority="8" stopIfTrue="1" operator="equal">
      <formula>"On track"</formula>
    </cfRule>
  </conditionalFormatting>
  <conditionalFormatting sqref="C7:C100">
    <cfRule type="cellIs" dxfId="3" priority="9" stopIfTrue="1" operator="equal">
      <formula>"Awaiting update"</formula>
    </cfRule>
  </conditionalFormatting>
  <conditionalFormatting sqref="C7:C100">
    <cfRule type="cellIs" dxfId="4" priority="10" stopIfTrue="1" operator="equal">
      <formula>"Blocked"</formula>
    </cfRule>
  </conditionalFormatting>
  <dataValidations count="1">
    <dataValidation type="list" allowBlank="1" showErrorMessage="1" sqref="C7:C100">
      <formula1>"On track,In progress,Awaiting update,Blocked,Complete"</formula1>
    </dataValidation>
  </dataValidations>
  <hyperlinks>
    <hyperlink ref="I7" ns1:id="Ra2e547eaa3d84cb2"/>
    <hyperlink ref="I8" ns1:id="Ra10a04783b9f400b"/>
    <hyperlink ref="I9" ns1:id="Rabca77eb34cb4f62"/>
    <hyperlink ref="I10" ns1:id="Rbfa3a11b460b4d8e"/>
    <hyperlink ref="I11" ns1:id="Recc7dcea0e974f3f"/>
    <hyperlink ref="I13" ns1:id="Ra2b0a14efcdd4bd0"/>
    <hyperlink ref="I14" ns1:id="R79506224c0a74df2"/>
  </hyperlinks>
  <pageMargins left="0.7" right="0.7" top="0.75" bottom="0.75" header="0.3" footer="0.3"/>
</worksheet>
</file>